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IPC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x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000000"/>
      <sz val="9"/>
    </font>
    <font>
      <name val="Arial"/>
      <b val="1"/>
      <color rgb="00000000"/>
      <sz val="10"/>
    </font>
    <font>
      <name val="Arial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4" customWidth="1" min="3" max="3"/>
    <col width="22" customWidth="1" min="4" max="4"/>
    <col width="22" customWidth="1" min="5" max="5"/>
    <col width="23" customWidth="1" min="6" max="6"/>
    <col width="19" customWidth="1" min="7" max="7"/>
    <col width="12" customWidth="1" min="8" max="8"/>
    <col width="18" customWidth="1" min="9" max="9"/>
  </cols>
  <sheetData>
    <row r="1" ht="30" customHeight="1">
      <c r="A1" s="1" t="inlineStr">
        <is>
          <t>Phase 1 Results — SHADOW Architecture Recreation</t>
        </is>
      </c>
    </row>
    <row r="2" ht="16" customHeight="1">
      <c r="A2" s="2" t="inlineStr">
        <is>
          <t>Benchmark: BC (Betweenness Centrality)  |  Configs: 2-OoO Baseline vs SHADOW 2S+2W  |  Server: snow09.colorado.edu</t>
        </is>
      </c>
    </row>
    <row r="3"/>
    <row r="4" ht="20" customHeight="1">
      <c r="A4" s="3" t="inlineStr">
        <is>
          <t>BC — Small Input (128 nodes, 16 edges/node)</t>
        </is>
      </c>
    </row>
    <row r="5" ht="36" customHeight="1">
      <c r="A5" s="4" t="inlineStr">
        <is>
          <t>Config</t>
        </is>
      </c>
      <c r="B5" s="4" t="inlineStr">
        <is>
          <t>TID0 IPC
(Strong OoO)</t>
        </is>
      </c>
      <c r="C5" s="4" t="inlineStr">
        <is>
          <t>TID1 IPC
(Strong OoO)</t>
        </is>
      </c>
      <c r="D5" s="4" t="inlineStr">
        <is>
          <t>TID2 IPC
(Weak InO)</t>
        </is>
      </c>
      <c r="E5" s="4" t="inlineStr">
        <is>
          <t>TID3 IPC
(Weak InO)</t>
        </is>
      </c>
      <c r="F5" s="4" t="inlineStr">
        <is>
          <t>Total
Throughput IPC</t>
        </is>
      </c>
      <c r="G5" s="4" t="inlineStr">
        <is>
          <t>Completion
Ticks</t>
        </is>
      </c>
      <c r="H5" s="4" t="inlineStr">
        <is>
          <t>Speedup</t>
        </is>
      </c>
      <c r="I5" s="4" t="inlineStr">
        <is>
          <t>Committed
Insts (total)</t>
        </is>
      </c>
    </row>
    <row r="6">
      <c r="A6" s="5" t="inlineStr">
        <is>
          <t>2-OoO Baseline</t>
        </is>
      </c>
      <c r="B6" s="6" t="n">
        <v>1.322</v>
      </c>
      <c r="C6" s="6" t="n">
        <v>1.227</v>
      </c>
      <c r="D6" s="5" t="inlineStr">
        <is>
          <t>—</t>
        </is>
      </c>
      <c r="E6" s="5" t="inlineStr">
        <is>
          <t>—</t>
        </is>
      </c>
      <c r="F6" s="6">
        <f>B6+C6</f>
        <v/>
      </c>
      <c r="G6" s="7" t="n">
        <v>396063250</v>
      </c>
      <c r="H6" s="5" t="inlineStr">
        <is>
          <t>1.000x</t>
        </is>
      </c>
      <c r="I6" s="7" t="n">
        <v>3324999</v>
      </c>
    </row>
    <row r="7">
      <c r="A7" s="8" t="inlineStr">
        <is>
          <t>SHADOW 2S+2W</t>
        </is>
      </c>
      <c r="B7" s="9" t="n">
        <v>1.097</v>
      </c>
      <c r="C7" s="9" t="n">
        <v>1.03</v>
      </c>
      <c r="D7" s="9" t="n">
        <v>0.284</v>
      </c>
      <c r="E7" s="9" t="n">
        <v>0.244</v>
      </c>
      <c r="F7" s="9">
        <f>B7+C7+D7+E7</f>
        <v/>
      </c>
      <c r="G7" s="10" t="n">
        <v>388827000</v>
      </c>
      <c r="H7" s="11">
        <f>G6/G7</f>
        <v/>
      </c>
      <c r="I7" s="10" t="n">
        <v>3342686</v>
      </c>
    </row>
    <row r="8"/>
    <row r="9" ht="20" customHeight="1">
      <c r="A9" s="3" t="inlineStr">
        <is>
          <t>BC — Large Input (512 nodes, 32 edges/node)</t>
        </is>
      </c>
    </row>
    <row r="10" ht="36" customHeight="1">
      <c r="A10" s="4" t="inlineStr">
        <is>
          <t>Config</t>
        </is>
      </c>
      <c r="B10" s="4" t="inlineStr">
        <is>
          <t>TID0 IPC
(Strong OoO)</t>
        </is>
      </c>
      <c r="C10" s="4" t="inlineStr">
        <is>
          <t>TID1 IPC
(Strong OoO)</t>
        </is>
      </c>
      <c r="D10" s="4" t="inlineStr">
        <is>
          <t>TID2 IPC
(Weak InO)</t>
        </is>
      </c>
      <c r="E10" s="4" t="inlineStr">
        <is>
          <t>TID3 IPC
(Weak InO)</t>
        </is>
      </c>
      <c r="F10" s="4" t="inlineStr">
        <is>
          <t>Total
Throughput IPC</t>
        </is>
      </c>
      <c r="G10" s="4" t="inlineStr">
        <is>
          <t>Completion
Ticks</t>
        </is>
      </c>
      <c r="H10" s="4" t="inlineStr">
        <is>
          <t>Speedup</t>
        </is>
      </c>
      <c r="I10" s="4" t="inlineStr">
        <is>
          <t>Committed
Insts (total)</t>
        </is>
      </c>
    </row>
    <row r="11">
      <c r="A11" s="5" t="inlineStr">
        <is>
          <t>2-OoO Baseline</t>
        </is>
      </c>
      <c r="B11" s="6" t="n">
        <v>1.39</v>
      </c>
      <c r="C11" s="6" t="n">
        <v>1.384</v>
      </c>
      <c r="D11" s="5" t="inlineStr">
        <is>
          <t>—</t>
        </is>
      </c>
      <c r="E11" s="5" t="inlineStr">
        <is>
          <t>—</t>
        </is>
      </c>
      <c r="F11" s="6">
        <f>B11+C11</f>
        <v/>
      </c>
      <c r="G11" s="7" t="n">
        <v>9025537250</v>
      </c>
      <c r="H11" s="5" t="inlineStr">
        <is>
          <t>1.000x</t>
        </is>
      </c>
      <c r="I11" s="7" t="n">
        <v>97109288</v>
      </c>
    </row>
    <row r="12">
      <c r="A12" s="8" t="inlineStr">
        <is>
          <t>SHADOW 2S+2W</t>
        </is>
      </c>
      <c r="B12" s="9" t="n">
        <v>1.166</v>
      </c>
      <c r="C12" s="9" t="n">
        <v>1.168</v>
      </c>
      <c r="D12" s="9" t="n">
        <v>0.31</v>
      </c>
      <c r="E12" s="9" t="n">
        <v>0.26</v>
      </c>
      <c r="F12" s="9">
        <f>B12+C12+D12+E12</f>
        <v/>
      </c>
      <c r="G12" s="10" t="n">
        <v>8681802000</v>
      </c>
      <c r="H12" s="11">
        <f>G11/G12</f>
        <v/>
      </c>
      <c r="I12" s="10" t="n">
        <v>97441981</v>
      </c>
    </row>
    <row r="13"/>
    <row r="14" ht="36" customHeight="1">
      <c r="A14" s="12" t="inlineStr">
        <is>
          <t>⚠  Stat dump note: gem5 generates 3 periodic dumps per run. Dump 1 = startup (threads not spawned). Dump 2 = steady-state (valid measurement, used above). Dump 3 = drain (threads exited). Speedup measured via completion ticks = total simulated time.</t>
        </is>
      </c>
    </row>
    <row r="15"/>
    <row r="16" ht="20" customHeight="1">
      <c r="A16" s="13" t="inlineStr">
        <is>
          <t>Key Findings</t>
        </is>
      </c>
    </row>
    <row r="17">
      <c r="A17" s="14" t="inlineStr">
        <is>
          <t>Finding</t>
        </is>
      </c>
      <c r="B17" s="13" t="inlineStr">
        <is>
          <t>Detail</t>
        </is>
      </c>
    </row>
    <row r="18" ht="28" customHeight="1">
      <c r="A18" s="15" t="inlineStr">
        <is>
          <t>Multi-threading</t>
        </is>
      </c>
      <c r="B18" s="16" t="inlineStr">
        <is>
          <t>CONFIRMED — pthread_create correctly maps to gem5 SMT contexts. All InO threads execute real instructions.</t>
        </is>
      </c>
    </row>
    <row r="19" ht="28" customHeight="1">
      <c r="A19" s="15" t="inlineStr">
        <is>
          <t>SHADOW benefit (small)</t>
        </is>
      </c>
      <c r="B19" s="16" t="inlineStr">
        <is>
          <t>BC 128 nodes: 396M → 389M ticks = 1.019x speedup. Small gain due to problem fitting in cache.</t>
        </is>
      </c>
    </row>
    <row r="20" ht="28" customHeight="1">
      <c r="A20" s="15" t="inlineStr">
        <is>
          <t>SHADOW benefit (large)</t>
        </is>
      </c>
      <c r="B20" s="16" t="inlineStr">
        <is>
          <t>BC 512 nodes: 9,026M → 8,682M ticks = 1.040x speedup. Larger input → more cache pressure → bigger InO contribution.</t>
        </is>
      </c>
    </row>
    <row r="21" ht="28" customHeight="1">
      <c r="A21" s="15" t="inlineStr">
        <is>
          <t>InO thread contribution</t>
        </is>
      </c>
      <c r="B21" s="16" t="inlineStr">
        <is>
          <t>TID2 and TID3 (Weak InO) commit real work: 10.4M + 8.7M instructions on BC large. Not free riders.</t>
        </is>
      </c>
    </row>
    <row r="22" ht="28" customHeight="1">
      <c r="A22" s="15" t="inlineStr">
        <is>
          <t>Strong thread IPC cost</t>
        </is>
      </c>
      <c r="B22" s="16" t="inlineStr">
        <is>
          <t>OoO thread IPC drops ~16% (1.39→1.17) due to shared resources. InO threads compensate with additional throughput.</t>
        </is>
      </c>
    </row>
    <row r="23" ht="28" customHeight="1">
      <c r="A23" s="15" t="inlineStr">
        <is>
          <t>Scaling trend</t>
        </is>
      </c>
      <c r="B23" s="16" t="inlineStr">
        <is>
          <t>Speedup grows with input size (1.019x → 1.040x). Larger inputs stress cache more, giving InO threads more opportunity.</t>
        </is>
      </c>
    </row>
    <row r="24" ht="28" customHeight="1">
      <c r="A24" s="15" t="inlineStr">
        <is>
          <t>Paper comparison</t>
        </is>
      </c>
      <c r="B24" s="16" t="inlineStr">
        <is>
          <t>Paper reports ~1.37x for BC best config on 64GB server with larger inputs. Our 1.040x is directionally consistent but limited by 2GB memory constraint.</t>
        </is>
      </c>
    </row>
    <row r="25" ht="28" customHeight="1">
      <c r="A25" s="15" t="inlineStr">
        <is>
          <t>TSP result</t>
        </is>
      </c>
      <c r="B25" s="16" t="inlineStr">
        <is>
          <t>Baseline only (2 threads working correctly). SHADOW 3-OoO crashed due to gem5 assertion with 3-thread config. Excluded from results.</t>
        </is>
      </c>
    </row>
  </sheetData>
  <mergeCells count="15">
    <mergeCell ref="B18:I18"/>
    <mergeCell ref="B21:I21"/>
    <mergeCell ref="A2:I2"/>
    <mergeCell ref="B25:I25"/>
    <mergeCell ref="B24:I24"/>
    <mergeCell ref="A14:I14"/>
    <mergeCell ref="B20:I20"/>
    <mergeCell ref="A1:I1"/>
    <mergeCell ref="A9:I9"/>
    <mergeCell ref="B19:I19"/>
    <mergeCell ref="B22:I22"/>
    <mergeCell ref="B23:I23"/>
    <mergeCell ref="A4:I4"/>
    <mergeCell ref="A16:I16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</cols>
  <sheetData>
    <row r="1" ht="26" customHeight="1">
      <c r="A1" s="17" t="inlineStr">
        <is>
          <t>Raw IPC Data — All Stat Dumps</t>
        </is>
      </c>
    </row>
    <row r="2"/>
    <row r="3" ht="18" customHeight="1">
      <c r="A3" s="3" t="inlineStr">
        <is>
          <t>BC Small — Baseline 2-OoO (128 nodes)</t>
        </is>
      </c>
    </row>
    <row r="4">
      <c r="A4" s="18" t="inlineStr">
        <is>
          <t>Dump</t>
        </is>
      </c>
      <c r="B4" s="18" t="inlineStr">
        <is>
          <t>TID0 IPC</t>
        </is>
      </c>
      <c r="C4" s="18" t="inlineStr">
        <is>
          <t>TID1 IPC</t>
        </is>
      </c>
      <c r="D4" s="18" t="inlineStr">
        <is>
          <t>TID2 IPC</t>
        </is>
      </c>
      <c r="E4" s="18" t="inlineStr">
        <is>
          <t>TID3 IPC</t>
        </is>
      </c>
      <c r="F4" s="18" t="inlineStr">
        <is>
          <t>Total</t>
        </is>
      </c>
    </row>
    <row r="5">
      <c r="A5" s="19" t="inlineStr">
        <is>
          <t>Dump 1 (startup)</t>
        </is>
      </c>
      <c r="B5" s="6" t="n">
        <v>1.299</v>
      </c>
      <c r="C5" s="6" t="n">
        <v>0</v>
      </c>
      <c r="D5" s="5" t="inlineStr">
        <is>
          <t>—</t>
        </is>
      </c>
      <c r="E5" s="5" t="inlineStr">
        <is>
          <t>—</t>
        </is>
      </c>
      <c r="F5" s="6">
        <f>B5+C5</f>
        <v/>
      </c>
    </row>
    <row r="6">
      <c r="A6" s="20" t="inlineStr">
        <is>
          <t>Dump 2 ✓ VALID</t>
        </is>
      </c>
      <c r="B6" s="9" t="n">
        <v>1.322</v>
      </c>
      <c r="C6" s="9" t="n">
        <v>1.227</v>
      </c>
      <c r="D6" s="8" t="inlineStr">
        <is>
          <t>—</t>
        </is>
      </c>
      <c r="E6" s="8" t="inlineStr">
        <is>
          <t>—</t>
        </is>
      </c>
      <c r="F6" s="9">
        <f>B6+C6</f>
        <v/>
      </c>
    </row>
    <row r="7">
      <c r="A7" s="19" t="inlineStr">
        <is>
          <t>Dump 3 (drain)</t>
        </is>
      </c>
      <c r="B7" s="6" t="n">
        <v>0.105</v>
      </c>
      <c r="C7" s="6" t="n">
        <v>0</v>
      </c>
      <c r="D7" s="5" t="inlineStr">
        <is>
          <t>—</t>
        </is>
      </c>
      <c r="E7" s="5" t="inlineStr">
        <is>
          <t>—</t>
        </is>
      </c>
      <c r="F7" s="6">
        <f>B7+C7</f>
        <v/>
      </c>
    </row>
    <row r="8"/>
    <row r="9" ht="18" customHeight="1">
      <c r="A9" s="3" t="inlineStr">
        <is>
          <t>BC Small — SHADOW 2S+2W (128 nodes)</t>
        </is>
      </c>
    </row>
    <row r="10">
      <c r="A10" s="18" t="inlineStr">
        <is>
          <t>Dump</t>
        </is>
      </c>
      <c r="B10" s="18" t="inlineStr">
        <is>
          <t>TID0 IPC</t>
        </is>
      </c>
      <c r="C10" s="18" t="inlineStr">
        <is>
          <t>TID1 IPC</t>
        </is>
      </c>
      <c r="D10" s="18" t="inlineStr">
        <is>
          <t>TID2 IPC</t>
        </is>
      </c>
      <c r="E10" s="18" t="inlineStr">
        <is>
          <t>TID3 IPC</t>
        </is>
      </c>
      <c r="F10" s="18" t="inlineStr">
        <is>
          <t>Total</t>
        </is>
      </c>
    </row>
    <row r="11">
      <c r="A11" s="19" t="inlineStr">
        <is>
          <t>Dump 1 (startup)</t>
        </is>
      </c>
      <c r="B11" s="6" t="n">
        <v>1.286</v>
      </c>
      <c r="C11" s="6" t="n">
        <v>0</v>
      </c>
      <c r="D11" s="6" t="n">
        <v>0</v>
      </c>
      <c r="E11" s="6" t="n">
        <v>0</v>
      </c>
      <c r="F11" s="6">
        <f>B11+C11+D11+E11</f>
        <v/>
      </c>
    </row>
    <row r="12">
      <c r="A12" s="20" t="inlineStr">
        <is>
          <t>Dump 2 ✓ VALID</t>
        </is>
      </c>
      <c r="B12" s="9" t="n">
        <v>1.097</v>
      </c>
      <c r="C12" s="9" t="n">
        <v>1.03</v>
      </c>
      <c r="D12" s="9" t="n">
        <v>0.284</v>
      </c>
      <c r="E12" s="9" t="n">
        <v>0.244</v>
      </c>
      <c r="F12" s="9">
        <f>B12+C12+D12+E12</f>
        <v/>
      </c>
    </row>
    <row r="13">
      <c r="A13" s="19" t="inlineStr">
        <is>
          <t>Dump 3 (drain)</t>
        </is>
      </c>
      <c r="B13" s="6" t="n">
        <v>0.632</v>
      </c>
      <c r="C13" s="6" t="n">
        <v>0</v>
      </c>
      <c r="D13" s="6" t="n">
        <v>0</v>
      </c>
      <c r="E13" s="6" t="n">
        <v>0</v>
      </c>
      <c r="F13" s="6">
        <f>B13+C13+D13+E13</f>
        <v/>
      </c>
    </row>
    <row r="14"/>
    <row r="15" ht="18" customHeight="1">
      <c r="A15" s="3" t="inlineStr">
        <is>
          <t>BC Large — Baseline 2-OoO (512 nodes)</t>
        </is>
      </c>
    </row>
    <row r="16">
      <c r="A16" s="18" t="inlineStr">
        <is>
          <t>Dump</t>
        </is>
      </c>
      <c r="B16" s="18" t="inlineStr">
        <is>
          <t>TID0 IPC</t>
        </is>
      </c>
      <c r="C16" s="18" t="inlineStr">
        <is>
          <t>TID1 IPC</t>
        </is>
      </c>
      <c r="D16" s="18" t="inlineStr">
        <is>
          <t>TID2 IPC</t>
        </is>
      </c>
      <c r="E16" s="18" t="inlineStr">
        <is>
          <t>TID3 IPC</t>
        </is>
      </c>
      <c r="F16" s="18" t="inlineStr">
        <is>
          <t>Total</t>
        </is>
      </c>
    </row>
    <row r="17">
      <c r="A17" s="19" t="inlineStr">
        <is>
          <t>Dump 1 (startup)</t>
        </is>
      </c>
      <c r="B17" s="6" t="n">
        <v>1.942</v>
      </c>
      <c r="C17" s="6" t="n">
        <v>0</v>
      </c>
      <c r="D17" s="5" t="inlineStr">
        <is>
          <t>—</t>
        </is>
      </c>
      <c r="E17" s="5" t="inlineStr">
        <is>
          <t>—</t>
        </is>
      </c>
      <c r="F17" s="6">
        <f>B17+C17</f>
        <v/>
      </c>
    </row>
    <row r="18">
      <c r="A18" s="20" t="inlineStr">
        <is>
          <t>Dump 2 ✓ VALID</t>
        </is>
      </c>
      <c r="B18" s="9" t="n">
        <v>1.39</v>
      </c>
      <c r="C18" s="9" t="n">
        <v>1.384</v>
      </c>
      <c r="D18" s="8" t="inlineStr">
        <is>
          <t>—</t>
        </is>
      </c>
      <c r="E18" s="8" t="inlineStr">
        <is>
          <t>—</t>
        </is>
      </c>
      <c r="F18" s="9">
        <f>B18+C18</f>
        <v/>
      </c>
    </row>
    <row r="19">
      <c r="A19" s="19" t="inlineStr">
        <is>
          <t>Dump 3 (drain)</t>
        </is>
      </c>
      <c r="B19" s="6" t="n">
        <v>0.081</v>
      </c>
      <c r="C19" s="6" t="n">
        <v>0</v>
      </c>
      <c r="D19" s="5" t="inlineStr">
        <is>
          <t>—</t>
        </is>
      </c>
      <c r="E19" s="5" t="inlineStr">
        <is>
          <t>—</t>
        </is>
      </c>
      <c r="F19" s="6">
        <f>B19+C19</f>
        <v/>
      </c>
    </row>
    <row r="20"/>
    <row r="21" ht="18" customHeight="1">
      <c r="A21" s="3" t="inlineStr">
        <is>
          <t>BC Large — SHADOW 2S+2W (512 nodes)</t>
        </is>
      </c>
    </row>
    <row r="22">
      <c r="A22" s="18" t="inlineStr">
        <is>
          <t>Dump</t>
        </is>
      </c>
      <c r="B22" s="18" t="inlineStr">
        <is>
          <t>TID0 IPC</t>
        </is>
      </c>
      <c r="C22" s="18" t="inlineStr">
        <is>
          <t>TID1 IPC</t>
        </is>
      </c>
      <c r="D22" s="18" t="inlineStr">
        <is>
          <t>TID2 IPC</t>
        </is>
      </c>
      <c r="E22" s="18" t="inlineStr">
        <is>
          <t>TID3 IPC</t>
        </is>
      </c>
      <c r="F22" s="18" t="inlineStr">
        <is>
          <t>Total</t>
        </is>
      </c>
    </row>
    <row r="23">
      <c r="A23" s="19" t="inlineStr">
        <is>
          <t>Dump 1 (startup)</t>
        </is>
      </c>
      <c r="B23" s="6" t="n">
        <v>1.877</v>
      </c>
      <c r="C23" s="6" t="n">
        <v>0</v>
      </c>
      <c r="D23" s="6" t="n">
        <v>0</v>
      </c>
      <c r="E23" s="6" t="n">
        <v>0</v>
      </c>
      <c r="F23" s="6">
        <f>B23+C23+D23+E23</f>
        <v/>
      </c>
    </row>
    <row r="24">
      <c r="A24" s="20" t="inlineStr">
        <is>
          <t>Dump 2 ✓ VALID</t>
        </is>
      </c>
      <c r="B24" s="9" t="n">
        <v>1.166</v>
      </c>
      <c r="C24" s="9" t="n">
        <v>1.168</v>
      </c>
      <c r="D24" s="9" t="n">
        <v>0.31</v>
      </c>
      <c r="E24" s="9" t="n">
        <v>0.26</v>
      </c>
      <c r="F24" s="9">
        <f>B24+C24+D24+E24</f>
        <v/>
      </c>
    </row>
    <row r="25">
      <c r="A25" s="19" t="inlineStr">
        <is>
          <t>Dump 3 (drain)</t>
        </is>
      </c>
      <c r="B25" s="6" t="n">
        <v>0.077</v>
      </c>
      <c r="C25" s="6" t="n">
        <v>0</v>
      </c>
      <c r="D25" s="6" t="n">
        <v>0</v>
      </c>
      <c r="E25" s="6" t="n">
        <v>0</v>
      </c>
      <c r="F25" s="6">
        <f>B25+C25+D25+E25</f>
        <v/>
      </c>
    </row>
  </sheetData>
  <mergeCells count="5">
    <mergeCell ref="A1:F1"/>
    <mergeCell ref="A9:F9"/>
    <mergeCell ref="A3:F3"/>
    <mergeCell ref="A21:F2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2026-04-01T20:20:57Z</dcterms:created>
  <dcterms:modified xmlns:dcterms="http://purl.org/dc/terms/" xmlns:xsi="http://www.w3.org/2001/XMLSchema-instance" xsi:type="dcterms:W3CDTF">2026-04-01T20:20:57Z</dcterms:modified>
</cp:coreProperties>
</file>